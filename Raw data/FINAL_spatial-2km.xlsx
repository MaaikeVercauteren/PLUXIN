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maaike_vercauteren_ugent_be/Documents/Documenten/Plastic onderzoek - BGRL/PLUXIN/WP4/PLUXIN-Analyse/Raw-data-analyse/"/>
    </mc:Choice>
  </mc:AlternateContent>
  <xr:revisionPtr revIDLastSave="68" documentId="8_{529E56B1-6E96-4588-9E27-F3BC3AA0CE02}" xr6:coauthVersionLast="47" xr6:coauthVersionMax="47" xr10:uidLastSave="{37DB0216-B277-40A0-92EC-A429282D27C4}"/>
  <bookViews>
    <workbookView xWindow="28680" yWindow="-120" windowWidth="29040" windowHeight="15840" xr2:uid="{B44CCD10-0C33-421E-A8B2-22542CFC7A2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" i="1"/>
  <c r="N27" i="1" l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<sst xmlns="http://schemas.openxmlformats.org/spreadsheetml/2006/main" count="224" uniqueCount="97">
  <si>
    <t>Sampling Location</t>
  </si>
  <si>
    <t>Sampling Location specific</t>
  </si>
  <si>
    <t>Mean slope</t>
  </si>
  <si>
    <t>Depth river</t>
  </si>
  <si>
    <t>Active overflow</t>
  </si>
  <si>
    <t>Nearby vegetation</t>
  </si>
  <si>
    <t>NaturalBank</t>
  </si>
  <si>
    <t>width</t>
  </si>
  <si>
    <t>meandering</t>
  </si>
  <si>
    <t>Outside_insideBend</t>
  </si>
  <si>
    <t>shortest distance from shore</t>
  </si>
  <si>
    <t>radius (degree)</t>
  </si>
  <si>
    <t>radius (km)</t>
  </si>
  <si>
    <t>area (km²)</t>
  </si>
  <si>
    <t>RWZI [nr]</t>
  </si>
  <si>
    <t>Waste facilities [nr]</t>
  </si>
  <si>
    <t>agriculture [km²]</t>
  </si>
  <si>
    <t>industry  [km²]</t>
  </si>
  <si>
    <t>transport  [km²]</t>
  </si>
  <si>
    <t>urban  [km²]</t>
  </si>
  <si>
    <t>water  [km²]</t>
  </si>
  <si>
    <t>nature  [km²]</t>
  </si>
  <si>
    <t>recreation  [km²]</t>
  </si>
  <si>
    <t>waste  [km²]</t>
  </si>
  <si>
    <t>human foot print</t>
  </si>
  <si>
    <t>ecotope</t>
  </si>
  <si>
    <t>pixels at flood risk</t>
  </si>
  <si>
    <t>km² at flood risk</t>
  </si>
  <si>
    <t>% buffer at flood risk</t>
  </si>
  <si>
    <t>total flooding depth in buffer</t>
  </si>
  <si>
    <t>average flooding depth in buffer</t>
  </si>
  <si>
    <t>pop20</t>
  </si>
  <si>
    <t>pop22</t>
  </si>
  <si>
    <t>pop21</t>
  </si>
  <si>
    <t>Pop_AVG</t>
  </si>
  <si>
    <t>River Scheldt (Antwerpen)</t>
  </si>
  <si>
    <t>Antwerp</t>
  </si>
  <si>
    <t>River Scheldt (Bath)</t>
  </si>
  <si>
    <t>Bath</t>
  </si>
  <si>
    <t>River Scheldt (Breskens)</t>
  </si>
  <si>
    <t>Breskens</t>
  </si>
  <si>
    <t>River Scheldt (Doel)</t>
  </si>
  <si>
    <t>Doel</t>
  </si>
  <si>
    <t>Port of Antwerp (Doeldok)</t>
  </si>
  <si>
    <t>Doeldok</t>
  </si>
  <si>
    <t>North Sea Port (Grootdok)</t>
  </si>
  <si>
    <t>Grootdok</t>
  </si>
  <si>
    <t>North Sea Port (Insteekdok Zelzate)</t>
  </si>
  <si>
    <t>Insteekdok</t>
  </si>
  <si>
    <t>Port of Antwerp (Kanaaldok)</t>
  </si>
  <si>
    <t>Kanaaldok</t>
  </si>
  <si>
    <t>North Sea Port (Kluizendok)</t>
  </si>
  <si>
    <t>Kluizendok</t>
  </si>
  <si>
    <t>River Scheldt (Kruiningen)</t>
  </si>
  <si>
    <t>Kruiningen</t>
  </si>
  <si>
    <t>North Sea Port (Mercatordok)</t>
  </si>
  <si>
    <t>Mercatordok</t>
  </si>
  <si>
    <t>Port of Nieuwpoort (A)</t>
  </si>
  <si>
    <t>Nieuwpoort (A)</t>
  </si>
  <si>
    <t>Port of Nieuwpoort (B)</t>
  </si>
  <si>
    <t>Nieuwpoort (B)</t>
  </si>
  <si>
    <t>Port of Nieuwpoort (C)</t>
  </si>
  <si>
    <t>Nieuwpoort (C)</t>
  </si>
  <si>
    <t>Port of Oostende (A)</t>
  </si>
  <si>
    <t>Ostend (A)</t>
  </si>
  <si>
    <t>Port of Oostende (B)</t>
  </si>
  <si>
    <t>Ostend (B)</t>
  </si>
  <si>
    <t>Port of Oostende (C)</t>
  </si>
  <si>
    <t>Ostend (C)</t>
  </si>
  <si>
    <t>North Sea Port (Ringvaart)</t>
  </si>
  <si>
    <t>Ringvaart</t>
  </si>
  <si>
    <t>Port of Antwerp (Schelde Rijn kanaal)</t>
  </si>
  <si>
    <t>Schelde Rijn kanaal</t>
  </si>
  <si>
    <t>North Sea Port (Sifferdok)</t>
  </si>
  <si>
    <t>Sifferdok</t>
  </si>
  <si>
    <t>River Scheldt (Temse)</t>
  </si>
  <si>
    <t>Temse</t>
  </si>
  <si>
    <t>River Scheldt (Terneuzen)</t>
  </si>
  <si>
    <t>Terneuzen</t>
  </si>
  <si>
    <t>Port of Antwerp (Vijfde Havendok)</t>
  </si>
  <si>
    <t>Vijfde Havendok</t>
  </si>
  <si>
    <t>River Scheldt (Westerschelde)</t>
  </si>
  <si>
    <t>Westerschelde</t>
  </si>
  <si>
    <t>River Scheldt (Wintam)</t>
  </si>
  <si>
    <t>Wintam</t>
  </si>
  <si>
    <t>Zeebrugge (700)</t>
  </si>
  <si>
    <t>Zeebrugge</t>
  </si>
  <si>
    <t>No</t>
  </si>
  <si>
    <t>Yes</t>
  </si>
  <si>
    <t>Middle</t>
  </si>
  <si>
    <t>Outside</t>
  </si>
  <si>
    <t>Name-to remove</t>
  </si>
  <si>
    <t>River Scheldt (Antwerp)</t>
  </si>
  <si>
    <t>Antropogeen</t>
  </si>
  <si>
    <t>Diep Subtidaal</t>
  </si>
  <si>
    <t>Hoogdynamisch sublittoraal</t>
  </si>
  <si>
    <t>Matig Diep Subtidaal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</si>
</sst>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0" fontId="1" fillId="0" borderId="0" xfId="0" applyNumberFormat="1" applyFont="1"/>
    <xf numFmtId="0" fontId="3" fillId="0" borderId="0" xfId="0" applyFont="1" applyAlignment="1">
      <alignment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B955-B2E2-4EB2-BD5F-8221BBC7B398}">
  <dimension ref="A1:AJ27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Z1" sqref="Z1:Z1048576"/>
    </sheetView>
  </sheetViews>
  <sheetFormatPr defaultRowHeight="14.4" x14ac:dyDescent="0.3"/>
  <cols>
    <col min="1" max="1" width="25" customWidth="1"/>
    <col min="2" max="2" width="25.77734375" customWidth="1"/>
    <col min="3" max="3" width="20.77734375" customWidth="1"/>
    <col min="28" max="28" width="23.21875" customWidth="1"/>
  </cols>
  <sheetData>
    <row r="1" spans="1:36" ht="15.6" x14ac:dyDescent="0.3">
      <c r="A1" s="3" t="s">
        <v>91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4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x14ac:dyDescent="0.3">
      <c r="A2" t="s">
        <v>46</v>
      </c>
      <c r="B2" t="s">
        <v>45</v>
      </c>
      <c r="C2" t="s">
        <v>46</v>
      </c>
      <c r="D2">
        <v>0.35313276819668799</v>
      </c>
      <c r="E2">
        <v>852</v>
      </c>
      <c r="F2">
        <v>1</v>
      </c>
      <c r="G2" t="s">
        <v>87</v>
      </c>
      <c r="H2" t="s">
        <v>87</v>
      </c>
      <c r="I2">
        <v>129.727</v>
      </c>
      <c r="J2" t="s">
        <v>87</v>
      </c>
      <c r="L2">
        <v>8.8539999999999992</v>
      </c>
      <c r="M2">
        <v>2.5000000000000001E-2</v>
      </c>
      <c r="N2">
        <f>SQRT((15/PI()))</f>
        <v>2.1850968611841584</v>
      </c>
      <c r="O2">
        <v>15</v>
      </c>
      <c r="P2">
        <v>0</v>
      </c>
      <c r="Q2">
        <v>3</v>
      </c>
      <c r="R2">
        <v>0.39900000000000002</v>
      </c>
      <c r="S2">
        <v>5.6449999999999996</v>
      </c>
      <c r="T2">
        <v>1.1399999999999999</v>
      </c>
      <c r="U2">
        <v>6.04</v>
      </c>
      <c r="V2">
        <v>1.835</v>
      </c>
      <c r="W2">
        <v>0</v>
      </c>
      <c r="X2">
        <v>0</v>
      </c>
      <c r="Y2">
        <v>0</v>
      </c>
      <c r="Z2">
        <v>44.095238095238102</v>
      </c>
      <c r="AA2" t="s">
        <v>93</v>
      </c>
      <c r="AB2">
        <v>314</v>
      </c>
      <c r="AC2">
        <f>0.09*0.142*AB2</f>
        <v>4.0129199999999994</v>
      </c>
      <c r="AD2" s="6">
        <v>0.10594457815753702</v>
      </c>
      <c r="AE2">
        <v>388.468000717461</v>
      </c>
      <c r="AF2">
        <v>1.2371592379537</v>
      </c>
    </row>
    <row r="3" spans="1:36" x14ac:dyDescent="0.3">
      <c r="A3" t="s">
        <v>48</v>
      </c>
      <c r="B3" t="s">
        <v>47</v>
      </c>
      <c r="C3" t="s">
        <v>48</v>
      </c>
      <c r="D3">
        <v>0.167465243092528</v>
      </c>
      <c r="E3">
        <v>236</v>
      </c>
      <c r="F3">
        <v>2</v>
      </c>
      <c r="G3" t="s">
        <v>88</v>
      </c>
      <c r="H3" t="s">
        <v>87</v>
      </c>
      <c r="I3">
        <v>74.034000000000006</v>
      </c>
      <c r="J3" t="s">
        <v>87</v>
      </c>
      <c r="L3">
        <v>10</v>
      </c>
      <c r="M3">
        <v>2.5000000000000001E-2</v>
      </c>
      <c r="N3">
        <f t="shared" ref="N3:N27" si="0">SQRT((15/PI()))</f>
        <v>2.1850968611841584</v>
      </c>
      <c r="O3">
        <v>15</v>
      </c>
      <c r="P3">
        <v>1</v>
      </c>
      <c r="Q3">
        <v>0</v>
      </c>
      <c r="R3">
        <v>1.948</v>
      </c>
      <c r="S3">
        <v>5.4790000000000001</v>
      </c>
      <c r="T3">
        <v>0</v>
      </c>
      <c r="U3">
        <v>4.55</v>
      </c>
      <c r="V3">
        <v>1.306</v>
      </c>
      <c r="W3">
        <v>1.736</v>
      </c>
      <c r="X3">
        <v>0</v>
      </c>
      <c r="Y3">
        <v>0</v>
      </c>
      <c r="Z3">
        <v>39.578947368421098</v>
      </c>
      <c r="AA3" t="s">
        <v>93</v>
      </c>
      <c r="AB3">
        <v>77</v>
      </c>
      <c r="AC3">
        <f t="shared" ref="AC3:AC27" si="1">0.09*0.142*AB3</f>
        <v>0.98405999999999982</v>
      </c>
      <c r="AD3" s="6">
        <v>2.5980039866657166E-2</v>
      </c>
      <c r="AE3">
        <v>117.4650003016</v>
      </c>
      <c r="AF3">
        <v>1.52551948443636</v>
      </c>
    </row>
    <row r="4" spans="1:36" x14ac:dyDescent="0.3">
      <c r="A4" t="s">
        <v>52</v>
      </c>
      <c r="B4" t="s">
        <v>51</v>
      </c>
      <c r="C4" t="s">
        <v>52</v>
      </c>
      <c r="D4">
        <v>0.20421043098996799</v>
      </c>
      <c r="E4">
        <v>934</v>
      </c>
      <c r="F4">
        <v>0</v>
      </c>
      <c r="G4" t="s">
        <v>87</v>
      </c>
      <c r="H4" t="s">
        <v>87</v>
      </c>
      <c r="I4">
        <v>211.25899999999999</v>
      </c>
      <c r="J4" t="s">
        <v>87</v>
      </c>
      <c r="L4">
        <v>10</v>
      </c>
      <c r="M4">
        <v>2.5000000000000001E-2</v>
      </c>
      <c r="N4">
        <f t="shared" si="0"/>
        <v>2.1850968611841584</v>
      </c>
      <c r="O4">
        <v>15</v>
      </c>
      <c r="P4">
        <v>0</v>
      </c>
      <c r="Q4">
        <v>0</v>
      </c>
      <c r="R4">
        <v>2.472</v>
      </c>
      <c r="S4">
        <v>6.532</v>
      </c>
      <c r="T4">
        <v>0.26600000000000001</v>
      </c>
      <c r="U4">
        <v>0.95699999999999996</v>
      </c>
      <c r="V4">
        <v>2.5099999999999998</v>
      </c>
      <c r="W4">
        <v>2.2080000000000002</v>
      </c>
      <c r="X4">
        <v>8.5000000000000006E-2</v>
      </c>
      <c r="Y4">
        <v>0</v>
      </c>
      <c r="Z4">
        <v>28.052631578947398</v>
      </c>
      <c r="AA4" t="s">
        <v>93</v>
      </c>
      <c r="AB4">
        <v>102</v>
      </c>
      <c r="AC4">
        <f t="shared" si="1"/>
        <v>1.3035599999999998</v>
      </c>
      <c r="AD4" s="6">
        <v>3.4415117745441967E-2</v>
      </c>
      <c r="AE4">
        <v>213.63999980688101</v>
      </c>
      <c r="AF4">
        <v>2.09450980202825</v>
      </c>
    </row>
    <row r="5" spans="1:36" x14ac:dyDescent="0.3">
      <c r="A5" t="s">
        <v>56</v>
      </c>
      <c r="B5" t="s">
        <v>55</v>
      </c>
      <c r="C5" t="s">
        <v>56</v>
      </c>
      <c r="D5">
        <v>0.182634954197605</v>
      </c>
      <c r="E5">
        <v>609</v>
      </c>
      <c r="F5">
        <v>1</v>
      </c>
      <c r="G5" t="s">
        <v>87</v>
      </c>
      <c r="H5" t="s">
        <v>87</v>
      </c>
      <c r="I5">
        <v>230</v>
      </c>
      <c r="J5" t="s">
        <v>87</v>
      </c>
      <c r="L5">
        <v>10</v>
      </c>
      <c r="M5">
        <v>2.5000000000000001E-2</v>
      </c>
      <c r="N5">
        <f t="shared" si="0"/>
        <v>2.1850968611841584</v>
      </c>
      <c r="O5">
        <v>15</v>
      </c>
      <c r="P5">
        <v>0</v>
      </c>
      <c r="Q5">
        <v>0</v>
      </c>
      <c r="R5">
        <v>2.5499999999999998</v>
      </c>
      <c r="S5">
        <v>6.8470000000000004</v>
      </c>
      <c r="T5">
        <v>0</v>
      </c>
      <c r="U5">
        <v>3.855</v>
      </c>
      <c r="V5">
        <v>1.7749999999999999</v>
      </c>
      <c r="W5">
        <v>1.9E-2</v>
      </c>
      <c r="X5">
        <v>0</v>
      </c>
      <c r="Y5">
        <v>0</v>
      </c>
      <c r="Z5">
        <v>34.761904761904802</v>
      </c>
      <c r="AA5" t="s">
        <v>93</v>
      </c>
      <c r="AB5">
        <v>176</v>
      </c>
      <c r="AC5">
        <f t="shared" si="1"/>
        <v>2.2492799999999997</v>
      </c>
      <c r="AD5" s="6">
        <v>5.9382948266644961E-2</v>
      </c>
      <c r="AE5">
        <v>317.08699914813002</v>
      </c>
      <c r="AF5">
        <v>1.8016306769780099</v>
      </c>
    </row>
    <row r="6" spans="1:36" x14ac:dyDescent="0.3">
      <c r="A6" t="s">
        <v>58</v>
      </c>
      <c r="B6" t="s">
        <v>57</v>
      </c>
      <c r="C6" t="s">
        <v>58</v>
      </c>
      <c r="D6">
        <v>0.59815727776823002</v>
      </c>
      <c r="F6">
        <v>2</v>
      </c>
      <c r="G6" t="s">
        <v>87</v>
      </c>
      <c r="H6" t="s">
        <v>87</v>
      </c>
      <c r="I6">
        <v>109.485</v>
      </c>
      <c r="J6" t="s">
        <v>87</v>
      </c>
      <c r="L6">
        <v>25.323</v>
      </c>
      <c r="M6">
        <v>2.5000000000000001E-2</v>
      </c>
      <c r="N6">
        <f t="shared" si="0"/>
        <v>2.1850968611841584</v>
      </c>
      <c r="O6">
        <v>15</v>
      </c>
      <c r="P6">
        <v>0</v>
      </c>
      <c r="Q6">
        <v>0</v>
      </c>
      <c r="R6">
        <v>1.0680000000000001</v>
      </c>
      <c r="S6">
        <v>0.40799999999999997</v>
      </c>
      <c r="T6">
        <v>0</v>
      </c>
      <c r="U6">
        <v>2.1379999999999999</v>
      </c>
      <c r="V6">
        <v>9.0519999999999996</v>
      </c>
      <c r="W6">
        <v>1.397</v>
      </c>
      <c r="X6">
        <v>0.97099999999999997</v>
      </c>
      <c r="Y6">
        <v>0</v>
      </c>
      <c r="Z6">
        <v>59.684210526315802</v>
      </c>
      <c r="AA6" t="s">
        <v>93</v>
      </c>
      <c r="AC6">
        <f t="shared" si="1"/>
        <v>0</v>
      </c>
      <c r="AD6" s="6">
        <v>0</v>
      </c>
    </row>
    <row r="7" spans="1:36" x14ac:dyDescent="0.3">
      <c r="A7" t="s">
        <v>60</v>
      </c>
      <c r="B7" t="s">
        <v>59</v>
      </c>
      <c r="C7" t="s">
        <v>60</v>
      </c>
      <c r="D7">
        <v>0.415132728478322</v>
      </c>
      <c r="F7">
        <v>0</v>
      </c>
      <c r="G7" t="s">
        <v>87</v>
      </c>
      <c r="H7" t="s">
        <v>87</v>
      </c>
      <c r="I7">
        <v>13.162000000000001</v>
      </c>
      <c r="J7" t="s">
        <v>87</v>
      </c>
      <c r="L7">
        <v>61.83</v>
      </c>
      <c r="M7">
        <v>2.5000000000000001E-2</v>
      </c>
      <c r="N7">
        <f t="shared" si="0"/>
        <v>2.1850968611841584</v>
      </c>
      <c r="O7">
        <v>15</v>
      </c>
      <c r="P7">
        <v>0</v>
      </c>
      <c r="Q7">
        <v>0</v>
      </c>
      <c r="R7">
        <v>3.9409999999999998</v>
      </c>
      <c r="S7">
        <v>1.458</v>
      </c>
      <c r="T7">
        <v>0</v>
      </c>
      <c r="U7">
        <v>4.3739999999999997</v>
      </c>
      <c r="V7">
        <v>2.7090000000000001</v>
      </c>
      <c r="W7">
        <v>1.141</v>
      </c>
      <c r="X7">
        <v>1.413</v>
      </c>
      <c r="Y7">
        <v>0</v>
      </c>
      <c r="Z7">
        <v>47.25</v>
      </c>
      <c r="AA7" t="s">
        <v>93</v>
      </c>
      <c r="AC7">
        <f t="shared" si="1"/>
        <v>0</v>
      </c>
      <c r="AD7" s="6">
        <v>0</v>
      </c>
    </row>
    <row r="8" spans="1:36" x14ac:dyDescent="0.3">
      <c r="A8" t="s">
        <v>62</v>
      </c>
      <c r="B8" t="s">
        <v>61</v>
      </c>
      <c r="C8" t="s">
        <v>62</v>
      </c>
      <c r="D8">
        <v>0.324895425986018</v>
      </c>
      <c r="F8">
        <v>1</v>
      </c>
      <c r="G8" t="s">
        <v>87</v>
      </c>
      <c r="H8" t="s">
        <v>87</v>
      </c>
      <c r="I8">
        <v>20.61</v>
      </c>
      <c r="J8" t="s">
        <v>87</v>
      </c>
      <c r="L8">
        <v>96.6</v>
      </c>
      <c r="M8">
        <v>2.5000000000000001E-2</v>
      </c>
      <c r="N8">
        <f t="shared" si="0"/>
        <v>2.1850968611841584</v>
      </c>
      <c r="O8">
        <v>15</v>
      </c>
      <c r="P8">
        <v>0</v>
      </c>
      <c r="Q8">
        <v>1</v>
      </c>
      <c r="R8">
        <v>5.45</v>
      </c>
      <c r="S8">
        <v>1.5429999999999999</v>
      </c>
      <c r="T8">
        <v>0.223</v>
      </c>
      <c r="U8">
        <v>3.5619999999999998</v>
      </c>
      <c r="V8">
        <v>1.0660000000000001</v>
      </c>
      <c r="W8">
        <v>0.443</v>
      </c>
      <c r="X8">
        <v>1.3740000000000001</v>
      </c>
      <c r="Y8">
        <v>0</v>
      </c>
      <c r="Z8">
        <v>41.8</v>
      </c>
      <c r="AA8" t="s">
        <v>93</v>
      </c>
      <c r="AC8">
        <f t="shared" si="1"/>
        <v>0</v>
      </c>
      <c r="AD8" s="6">
        <v>0</v>
      </c>
    </row>
    <row r="9" spans="1:36" x14ac:dyDescent="0.3">
      <c r="A9" t="s">
        <v>64</v>
      </c>
      <c r="B9" t="s">
        <v>63</v>
      </c>
      <c r="C9" t="s">
        <v>64</v>
      </c>
      <c r="D9">
        <v>0.37946545682971999</v>
      </c>
      <c r="F9">
        <v>0</v>
      </c>
      <c r="G9" t="s">
        <v>87</v>
      </c>
      <c r="H9" t="s">
        <v>87</v>
      </c>
      <c r="I9">
        <v>18.64</v>
      </c>
      <c r="J9" t="s">
        <v>87</v>
      </c>
      <c r="L9">
        <v>502.04700000000003</v>
      </c>
      <c r="M9">
        <v>2.5000000000000001E-2</v>
      </c>
      <c r="N9">
        <f t="shared" si="0"/>
        <v>2.1850968611841584</v>
      </c>
      <c r="O9">
        <v>15</v>
      </c>
      <c r="P9">
        <v>0</v>
      </c>
      <c r="Q9">
        <v>0</v>
      </c>
      <c r="R9">
        <v>0</v>
      </c>
      <c r="S9">
        <v>2.0089999999999999</v>
      </c>
      <c r="T9">
        <v>0.20799999999999999</v>
      </c>
      <c r="U9">
        <v>3.8260000000000001</v>
      </c>
      <c r="V9">
        <v>8.5030000000000001</v>
      </c>
      <c r="W9">
        <v>4.0000000000000001E-3</v>
      </c>
      <c r="X9">
        <v>0.45700000000000002</v>
      </c>
      <c r="Y9">
        <v>0</v>
      </c>
      <c r="Z9">
        <v>38.549999999999997</v>
      </c>
      <c r="AA9" t="s">
        <v>93</v>
      </c>
      <c r="AC9">
        <f t="shared" si="1"/>
        <v>0</v>
      </c>
      <c r="AD9" s="6">
        <v>0</v>
      </c>
    </row>
    <row r="10" spans="1:36" x14ac:dyDescent="0.3">
      <c r="A10" t="s">
        <v>66</v>
      </c>
      <c r="B10" t="s">
        <v>65</v>
      </c>
      <c r="C10" t="s">
        <v>66</v>
      </c>
      <c r="D10">
        <v>0.35089329948499598</v>
      </c>
      <c r="F10">
        <v>0</v>
      </c>
      <c r="G10" t="s">
        <v>87</v>
      </c>
      <c r="H10" t="s">
        <v>87</v>
      </c>
      <c r="I10">
        <v>42.055999999999997</v>
      </c>
      <c r="J10" t="s">
        <v>87</v>
      </c>
      <c r="L10">
        <v>88.881</v>
      </c>
      <c r="M10">
        <v>2.5000000000000001E-2</v>
      </c>
      <c r="N10">
        <f t="shared" si="0"/>
        <v>2.1850968611841584</v>
      </c>
      <c r="O10">
        <v>15</v>
      </c>
      <c r="P10">
        <v>0</v>
      </c>
      <c r="Q10">
        <v>0</v>
      </c>
      <c r="R10">
        <v>6.5000000000000002E-2</v>
      </c>
      <c r="S10">
        <v>3.0670000000000002</v>
      </c>
      <c r="T10">
        <v>0.38500000000000001</v>
      </c>
      <c r="U10">
        <v>5.5250000000000004</v>
      </c>
      <c r="V10">
        <v>5.48</v>
      </c>
      <c r="W10">
        <v>6.8000000000000005E-2</v>
      </c>
      <c r="X10">
        <v>0.41799999999999998</v>
      </c>
      <c r="Y10">
        <v>0</v>
      </c>
      <c r="Z10">
        <v>28.6181818181818</v>
      </c>
      <c r="AA10" t="s">
        <v>93</v>
      </c>
      <c r="AB10">
        <v>1</v>
      </c>
      <c r="AC10">
        <f t="shared" si="1"/>
        <v>1.2779999999999998E-2</v>
      </c>
      <c r="AD10" s="6">
        <v>3.3740311515139179E-4</v>
      </c>
      <c r="AE10">
        <v>0.10000000149011599</v>
      </c>
      <c r="AF10">
        <v>0.10000000149011599</v>
      </c>
    </row>
    <row r="11" spans="1:36" x14ac:dyDescent="0.3">
      <c r="A11" t="s">
        <v>68</v>
      </c>
      <c r="B11" t="s">
        <v>67</v>
      </c>
      <c r="C11" t="s">
        <v>68</v>
      </c>
      <c r="D11">
        <v>0.31318928561645798</v>
      </c>
      <c r="F11">
        <v>1</v>
      </c>
      <c r="G11" t="s">
        <v>87</v>
      </c>
      <c r="H11" t="s">
        <v>87</v>
      </c>
      <c r="I11">
        <v>12.742000000000001</v>
      </c>
      <c r="J11" t="s">
        <v>87</v>
      </c>
      <c r="L11">
        <v>116.333</v>
      </c>
      <c r="M11">
        <v>2.5000000000000001E-2</v>
      </c>
      <c r="N11">
        <f t="shared" si="0"/>
        <v>2.1850968611841584</v>
      </c>
      <c r="O11">
        <v>15</v>
      </c>
      <c r="P11">
        <v>1</v>
      </c>
      <c r="Q11">
        <v>0</v>
      </c>
      <c r="R11">
        <v>0.86899999999999999</v>
      </c>
      <c r="S11">
        <v>4.4009999999999998</v>
      </c>
      <c r="T11">
        <v>0.52300000000000002</v>
      </c>
      <c r="U11">
        <v>5.76</v>
      </c>
      <c r="V11">
        <v>2.9689999999999999</v>
      </c>
      <c r="W11">
        <v>6.9000000000000006E-2</v>
      </c>
      <c r="X11">
        <v>0.41799999999999998</v>
      </c>
      <c r="Y11">
        <v>0</v>
      </c>
      <c r="Z11">
        <v>34.3773734177215</v>
      </c>
      <c r="AA11" t="s">
        <v>93</v>
      </c>
      <c r="AB11">
        <v>1</v>
      </c>
      <c r="AC11">
        <f t="shared" si="1"/>
        <v>1.2779999999999998E-2</v>
      </c>
      <c r="AD11" s="6">
        <v>3.3740311515139179E-4</v>
      </c>
      <c r="AE11">
        <v>0.10000000149011599</v>
      </c>
      <c r="AF11">
        <v>0.10000000149011599</v>
      </c>
    </row>
    <row r="12" spans="1:36" x14ac:dyDescent="0.3">
      <c r="A12" t="s">
        <v>43</v>
      </c>
      <c r="B12" t="s">
        <v>43</v>
      </c>
      <c r="C12" t="s">
        <v>44</v>
      </c>
      <c r="D12">
        <v>0.10196721484308301</v>
      </c>
      <c r="E12">
        <v>70</v>
      </c>
      <c r="F12">
        <v>0</v>
      </c>
      <c r="G12" t="s">
        <v>88</v>
      </c>
      <c r="H12" t="s">
        <v>87</v>
      </c>
      <c r="I12">
        <v>572.78899999999999</v>
      </c>
      <c r="J12" t="s">
        <v>87</v>
      </c>
      <c r="L12">
        <v>64.5</v>
      </c>
      <c r="M12">
        <v>2.5000000000000001E-2</v>
      </c>
      <c r="N12">
        <f t="shared" si="0"/>
        <v>2.1850968611841584</v>
      </c>
      <c r="O12">
        <v>15</v>
      </c>
      <c r="P12">
        <v>0</v>
      </c>
      <c r="Q12">
        <v>0</v>
      </c>
      <c r="R12">
        <v>3.5990000000000002</v>
      </c>
      <c r="S12">
        <v>7.0369999999999999</v>
      </c>
      <c r="T12">
        <v>0</v>
      </c>
      <c r="U12">
        <v>1E-3</v>
      </c>
      <c r="V12">
        <v>3.8620000000000001</v>
      </c>
      <c r="W12">
        <v>0.49299999999999999</v>
      </c>
      <c r="X12">
        <v>0</v>
      </c>
      <c r="Y12">
        <v>0</v>
      </c>
      <c r="Z12">
        <v>28.0341540905481</v>
      </c>
      <c r="AA12" t="s">
        <v>93</v>
      </c>
      <c r="AB12">
        <v>376</v>
      </c>
      <c r="AC12">
        <f t="shared" si="1"/>
        <v>4.8052799999999989</v>
      </c>
      <c r="AD12" s="6">
        <v>0.12686357129692333</v>
      </c>
      <c r="AE12">
        <v>476.50600302219402</v>
      </c>
      <c r="AF12">
        <v>1.26730319952711</v>
      </c>
    </row>
    <row r="13" spans="1:36" x14ac:dyDescent="0.3">
      <c r="A13" t="s">
        <v>49</v>
      </c>
      <c r="B13" t="s">
        <v>49</v>
      </c>
      <c r="C13" t="s">
        <v>50</v>
      </c>
      <c r="D13">
        <v>3.8147422448069603E-2</v>
      </c>
      <c r="E13">
        <v>217</v>
      </c>
      <c r="F13">
        <v>0</v>
      </c>
      <c r="G13" t="s">
        <v>87</v>
      </c>
      <c r="H13" t="s">
        <v>87</v>
      </c>
      <c r="I13">
        <v>402.53100000000001</v>
      </c>
      <c r="J13" t="s">
        <v>87</v>
      </c>
      <c r="L13">
        <v>45.848999999999997</v>
      </c>
      <c r="M13">
        <v>2.5000000000000001E-2</v>
      </c>
      <c r="N13">
        <f t="shared" si="0"/>
        <v>2.1850968611841584</v>
      </c>
      <c r="O13">
        <v>15</v>
      </c>
      <c r="P13">
        <v>1</v>
      </c>
      <c r="Q13">
        <v>0</v>
      </c>
      <c r="R13">
        <v>0</v>
      </c>
      <c r="S13">
        <v>6.6189999999999998</v>
      </c>
      <c r="T13">
        <v>1.913</v>
      </c>
      <c r="U13">
        <v>0.224</v>
      </c>
      <c r="V13">
        <v>4.5650000000000004</v>
      </c>
      <c r="W13">
        <v>0.60599999999999998</v>
      </c>
      <c r="X13">
        <v>0</v>
      </c>
      <c r="Y13">
        <v>1.0549999999999999</v>
      </c>
      <c r="Z13">
        <v>31.589314194577401</v>
      </c>
      <c r="AA13" t="s">
        <v>93</v>
      </c>
      <c r="AB13">
        <v>12</v>
      </c>
      <c r="AC13">
        <f t="shared" si="1"/>
        <v>0.15335999999999997</v>
      </c>
      <c r="AD13" s="6">
        <v>4.048837381816702E-3</v>
      </c>
      <c r="AE13">
        <v>9.7149999737739599</v>
      </c>
      <c r="AF13">
        <v>0.80958333114782999</v>
      </c>
    </row>
    <row r="14" spans="1:36" x14ac:dyDescent="0.3">
      <c r="A14" t="s">
        <v>71</v>
      </c>
      <c r="B14" t="s">
        <v>71</v>
      </c>
      <c r="C14" t="s">
        <v>72</v>
      </c>
      <c r="D14">
        <v>0.17633485142980601</v>
      </c>
      <c r="F14">
        <v>0</v>
      </c>
      <c r="G14" t="s">
        <v>87</v>
      </c>
      <c r="H14" t="s">
        <v>87</v>
      </c>
      <c r="I14">
        <v>322.28500000000003</v>
      </c>
      <c r="J14" t="s">
        <v>87</v>
      </c>
      <c r="L14">
        <v>27.459</v>
      </c>
      <c r="M14">
        <v>2.5000000000000001E-2</v>
      </c>
      <c r="N14">
        <f t="shared" si="0"/>
        <v>2.1850968611841584</v>
      </c>
      <c r="O14">
        <v>15</v>
      </c>
      <c r="P14">
        <v>0</v>
      </c>
      <c r="Q14">
        <v>0</v>
      </c>
      <c r="R14">
        <v>6.4889999999999999</v>
      </c>
      <c r="S14">
        <v>1.6679999999999999</v>
      </c>
      <c r="T14">
        <v>1.179</v>
      </c>
      <c r="U14">
        <v>1.726</v>
      </c>
      <c r="V14">
        <v>2.2789999999999999</v>
      </c>
      <c r="W14">
        <v>1.34</v>
      </c>
      <c r="X14">
        <v>0</v>
      </c>
      <c r="Y14">
        <v>0.28399999999999997</v>
      </c>
      <c r="Z14">
        <v>30.7870150435471</v>
      </c>
      <c r="AA14" t="s">
        <v>93</v>
      </c>
      <c r="AB14">
        <v>0</v>
      </c>
      <c r="AC14">
        <f t="shared" si="1"/>
        <v>0</v>
      </c>
      <c r="AD14" s="6">
        <v>0</v>
      </c>
      <c r="AE14">
        <v>0</v>
      </c>
    </row>
    <row r="15" spans="1:36" x14ac:dyDescent="0.3">
      <c r="A15" t="s">
        <v>79</v>
      </c>
      <c r="B15" t="s">
        <v>79</v>
      </c>
      <c r="C15" t="s">
        <v>80</v>
      </c>
      <c r="D15">
        <v>0.36548981135306202</v>
      </c>
      <c r="E15">
        <v>761</v>
      </c>
      <c r="F15">
        <v>1</v>
      </c>
      <c r="G15" t="s">
        <v>87</v>
      </c>
      <c r="H15" t="s">
        <v>87</v>
      </c>
      <c r="I15">
        <v>277.86</v>
      </c>
      <c r="J15" t="s">
        <v>87</v>
      </c>
      <c r="L15">
        <v>43.311</v>
      </c>
      <c r="M15">
        <v>2.5000000000000001E-2</v>
      </c>
      <c r="N15">
        <f t="shared" si="0"/>
        <v>2.1850968611841584</v>
      </c>
      <c r="O15">
        <v>15</v>
      </c>
      <c r="P15">
        <v>0</v>
      </c>
      <c r="Q15">
        <v>0</v>
      </c>
      <c r="R15">
        <v>0</v>
      </c>
      <c r="S15">
        <v>6.8460000000000001</v>
      </c>
      <c r="T15">
        <v>0.123</v>
      </c>
      <c r="U15">
        <v>1.667</v>
      </c>
      <c r="V15">
        <v>4.5570000000000004</v>
      </c>
      <c r="W15">
        <v>1.0189999999999999</v>
      </c>
      <c r="X15">
        <v>0.79200000000000004</v>
      </c>
      <c r="Y15">
        <v>0</v>
      </c>
      <c r="Z15">
        <v>33.013481363996803</v>
      </c>
      <c r="AA15" t="s">
        <v>93</v>
      </c>
      <c r="AB15">
        <v>22</v>
      </c>
      <c r="AC15">
        <f t="shared" si="1"/>
        <v>0.28115999999999997</v>
      </c>
      <c r="AD15" s="6">
        <v>7.4228685333306201E-3</v>
      </c>
      <c r="AE15">
        <v>26.733999967575102</v>
      </c>
      <c r="AF15">
        <v>1.21518181670796</v>
      </c>
    </row>
    <row r="16" spans="1:36" x14ac:dyDescent="0.3">
      <c r="A16" t="s">
        <v>70</v>
      </c>
      <c r="B16" t="s">
        <v>69</v>
      </c>
      <c r="C16" t="s">
        <v>70</v>
      </c>
      <c r="D16">
        <v>0.19495020052283099</v>
      </c>
      <c r="E16">
        <v>147</v>
      </c>
      <c r="F16">
        <v>3</v>
      </c>
      <c r="G16" t="s">
        <v>87</v>
      </c>
      <c r="H16" t="s">
        <v>87</v>
      </c>
      <c r="I16">
        <v>177.86099999999999</v>
      </c>
      <c r="J16" t="s">
        <v>87</v>
      </c>
      <c r="L16">
        <v>10</v>
      </c>
      <c r="M16">
        <v>2.5000000000000001E-2</v>
      </c>
      <c r="N16">
        <f t="shared" si="0"/>
        <v>2.1850968611841584</v>
      </c>
      <c r="O16">
        <v>15</v>
      </c>
      <c r="P16">
        <v>1</v>
      </c>
      <c r="Q16">
        <v>0</v>
      </c>
      <c r="R16">
        <v>1.633</v>
      </c>
      <c r="S16">
        <v>6.3609999999999998</v>
      </c>
      <c r="T16">
        <v>0.30099999999999999</v>
      </c>
      <c r="U16">
        <v>4.4269999999999996</v>
      </c>
      <c r="V16">
        <v>2.3260000000000001</v>
      </c>
      <c r="W16">
        <v>0</v>
      </c>
      <c r="X16">
        <v>0</v>
      </c>
      <c r="Y16">
        <v>0</v>
      </c>
      <c r="Z16">
        <v>31.4889064976228</v>
      </c>
      <c r="AA16" t="s">
        <v>93</v>
      </c>
      <c r="AB16">
        <v>257</v>
      </c>
      <c r="AC16">
        <f t="shared" si="1"/>
        <v>3.2844599999999993</v>
      </c>
      <c r="AD16" s="6">
        <v>8.6712600593907702E-2</v>
      </c>
      <c r="AE16">
        <v>285.37400008738001</v>
      </c>
      <c r="AF16">
        <v>1.1104046696006999</v>
      </c>
    </row>
    <row r="17" spans="1:32" x14ac:dyDescent="0.3">
      <c r="A17" t="s">
        <v>92</v>
      </c>
      <c r="B17" t="s">
        <v>35</v>
      </c>
      <c r="C17" t="s">
        <v>36</v>
      </c>
      <c r="D17">
        <v>0.470055991739951</v>
      </c>
      <c r="E17">
        <v>578</v>
      </c>
      <c r="F17">
        <v>4</v>
      </c>
      <c r="G17" t="s">
        <v>87</v>
      </c>
      <c r="H17" t="s">
        <v>87</v>
      </c>
      <c r="I17">
        <v>440.23700000000002</v>
      </c>
      <c r="J17" t="s">
        <v>88</v>
      </c>
      <c r="K17" t="s">
        <v>89</v>
      </c>
      <c r="L17">
        <v>177.35</v>
      </c>
      <c r="M17">
        <v>2.5000000000000001E-2</v>
      </c>
      <c r="N17">
        <f t="shared" si="0"/>
        <v>2.1850968611841584</v>
      </c>
      <c r="O17">
        <v>15</v>
      </c>
      <c r="P17">
        <v>1</v>
      </c>
      <c r="Q17">
        <v>4</v>
      </c>
      <c r="R17">
        <v>0</v>
      </c>
      <c r="S17">
        <v>2.5230000000000001</v>
      </c>
      <c r="T17">
        <v>1.66</v>
      </c>
      <c r="U17">
        <v>6.1440000000000001</v>
      </c>
      <c r="V17">
        <v>2.5030000000000001</v>
      </c>
      <c r="W17">
        <v>2.1850000000000001</v>
      </c>
      <c r="X17">
        <v>1E-3</v>
      </c>
      <c r="Y17">
        <v>0</v>
      </c>
      <c r="Z17">
        <v>20.926984126984099</v>
      </c>
      <c r="AA17" t="s">
        <v>94</v>
      </c>
      <c r="AB17">
        <v>111</v>
      </c>
      <c r="AC17">
        <f t="shared" si="1"/>
        <v>1.4185799999999997</v>
      </c>
      <c r="AD17" s="6">
        <v>3.7451745781804491E-2</v>
      </c>
      <c r="AE17">
        <v>381.64699193835298</v>
      </c>
      <c r="AF17">
        <v>3.4382611886338101</v>
      </c>
    </row>
    <row r="18" spans="1:32" x14ac:dyDescent="0.3">
      <c r="A18" s="5" t="s">
        <v>37</v>
      </c>
      <c r="B18" s="5" t="s">
        <v>37</v>
      </c>
      <c r="C18" s="5" t="s">
        <v>38</v>
      </c>
      <c r="D18">
        <v>0.20872389018159099</v>
      </c>
      <c r="E18">
        <v>2044</v>
      </c>
      <c r="F18">
        <v>0</v>
      </c>
      <c r="G18" t="s">
        <v>87</v>
      </c>
      <c r="H18" t="s">
        <v>88</v>
      </c>
      <c r="I18">
        <v>2718.6790000000001</v>
      </c>
      <c r="J18" t="s">
        <v>88</v>
      </c>
      <c r="K18" t="s">
        <v>90</v>
      </c>
      <c r="L18">
        <v>296.43700000000001</v>
      </c>
      <c r="M18">
        <v>2.5000000000000001E-2</v>
      </c>
      <c r="N18">
        <f t="shared" si="0"/>
        <v>2.1850968611841584</v>
      </c>
      <c r="O18">
        <v>15</v>
      </c>
      <c r="P18">
        <v>0</v>
      </c>
      <c r="Q18">
        <v>0</v>
      </c>
      <c r="R18">
        <v>0</v>
      </c>
      <c r="S18">
        <v>2.760574E-3</v>
      </c>
      <c r="T18">
        <v>0</v>
      </c>
      <c r="U18">
        <v>4.6514751529999998</v>
      </c>
      <c r="V18">
        <v>9.2131549750000001</v>
      </c>
      <c r="W18">
        <v>0</v>
      </c>
      <c r="X18">
        <v>0</v>
      </c>
      <c r="Y18">
        <v>1.0870808430000001</v>
      </c>
      <c r="Z18">
        <v>16.578947368421101</v>
      </c>
      <c r="AA18" t="s">
        <v>95</v>
      </c>
      <c r="AB18">
        <v>201</v>
      </c>
      <c r="AC18">
        <f t="shared" si="1"/>
        <v>2.5687799999999994</v>
      </c>
      <c r="AD18">
        <v>7.4516102801768502</v>
      </c>
      <c r="AE18">
        <v>113.706000089645</v>
      </c>
      <c r="AF18">
        <v>0.56570149298330996</v>
      </c>
    </row>
    <row r="19" spans="1:32" x14ac:dyDescent="0.3">
      <c r="A19" t="s">
        <v>39</v>
      </c>
      <c r="B19" t="s">
        <v>39</v>
      </c>
      <c r="C19" t="s">
        <v>40</v>
      </c>
      <c r="D19">
        <v>0.15166493748674301</v>
      </c>
      <c r="E19">
        <v>1550</v>
      </c>
      <c r="F19">
        <v>0</v>
      </c>
      <c r="G19" t="s">
        <v>87</v>
      </c>
      <c r="H19" t="s">
        <v>88</v>
      </c>
      <c r="I19">
        <v>4560.2759999999998</v>
      </c>
      <c r="J19" t="s">
        <v>87</v>
      </c>
      <c r="L19">
        <v>1485.85</v>
      </c>
      <c r="M19">
        <v>2.5000000000000001E-2</v>
      </c>
      <c r="N19">
        <f t="shared" si="0"/>
        <v>2.1850968611841584</v>
      </c>
      <c r="O19">
        <v>15</v>
      </c>
      <c r="P19">
        <v>0</v>
      </c>
      <c r="Q19">
        <v>0</v>
      </c>
      <c r="R19">
        <v>0.28799999999999998</v>
      </c>
      <c r="S19">
        <v>0.42699999999999999</v>
      </c>
      <c r="T19">
        <v>0</v>
      </c>
      <c r="U19">
        <v>1.4510000000000001</v>
      </c>
      <c r="V19">
        <v>12.678000000000001</v>
      </c>
      <c r="W19">
        <v>0</v>
      </c>
      <c r="X19">
        <v>0.106</v>
      </c>
      <c r="Y19">
        <v>0</v>
      </c>
      <c r="Z19">
        <v>23.407523510971799</v>
      </c>
      <c r="AA19" t="s">
        <v>95</v>
      </c>
      <c r="AB19">
        <v>0</v>
      </c>
      <c r="AC19">
        <f t="shared" si="1"/>
        <v>0</v>
      </c>
      <c r="AD19" s="6">
        <v>0</v>
      </c>
      <c r="AE19">
        <v>0</v>
      </c>
    </row>
    <row r="20" spans="1:32" x14ac:dyDescent="0.3">
      <c r="A20" t="s">
        <v>41</v>
      </c>
      <c r="B20" t="s">
        <v>41</v>
      </c>
      <c r="C20" t="s">
        <v>42</v>
      </c>
      <c r="D20">
        <v>3.74158921544889E-2</v>
      </c>
      <c r="E20">
        <v>843</v>
      </c>
      <c r="F20">
        <v>0</v>
      </c>
      <c r="G20" t="s">
        <v>88</v>
      </c>
      <c r="H20" t="s">
        <v>88</v>
      </c>
      <c r="I20">
        <v>1245.45</v>
      </c>
      <c r="J20" t="s">
        <v>88</v>
      </c>
      <c r="K20" t="s">
        <v>89</v>
      </c>
      <c r="L20">
        <v>431.8</v>
      </c>
      <c r="M20">
        <v>2.5000000000000001E-2</v>
      </c>
      <c r="N20">
        <f t="shared" si="0"/>
        <v>2.1850968611841584</v>
      </c>
      <c r="O20">
        <v>15</v>
      </c>
      <c r="P20">
        <v>0</v>
      </c>
      <c r="Q20">
        <v>0</v>
      </c>
      <c r="R20">
        <v>1.2649999999999999</v>
      </c>
      <c r="S20">
        <v>4.6790000000000003</v>
      </c>
      <c r="T20">
        <v>0.76500000000000001</v>
      </c>
      <c r="U20">
        <v>0.51300000000000001</v>
      </c>
      <c r="V20">
        <v>6.4260000000000002</v>
      </c>
      <c r="W20">
        <v>1.3320000000000001</v>
      </c>
      <c r="X20">
        <v>0</v>
      </c>
      <c r="Y20">
        <v>0</v>
      </c>
      <c r="Z20">
        <v>30.924050632911399</v>
      </c>
      <c r="AA20" t="s">
        <v>94</v>
      </c>
      <c r="AB20">
        <v>146</v>
      </c>
      <c r="AC20">
        <f t="shared" si="1"/>
        <v>1.8658799999999998</v>
      </c>
      <c r="AD20" s="6">
        <v>4.9260854812103204E-2</v>
      </c>
      <c r="AE20">
        <v>228.88799649476999</v>
      </c>
      <c r="AF20">
        <v>1.5677260033888401</v>
      </c>
    </row>
    <row r="21" spans="1:32" x14ac:dyDescent="0.3">
      <c r="A21" s="5" t="s">
        <v>53</v>
      </c>
      <c r="B21" s="5" t="s">
        <v>53</v>
      </c>
      <c r="C21" s="5" t="s">
        <v>54</v>
      </c>
      <c r="D21">
        <v>0.181401485729347</v>
      </c>
      <c r="E21">
        <v>269</v>
      </c>
      <c r="F21">
        <v>0</v>
      </c>
      <c r="G21" t="s">
        <v>88</v>
      </c>
      <c r="H21" t="s">
        <v>88</v>
      </c>
      <c r="I21">
        <v>2413.23</v>
      </c>
      <c r="J21" t="s">
        <v>88</v>
      </c>
      <c r="K21" t="s">
        <v>90</v>
      </c>
      <c r="L21">
        <v>1691.675</v>
      </c>
      <c r="M21">
        <v>2.5000000000000001E-2</v>
      </c>
      <c r="N21">
        <f t="shared" si="0"/>
        <v>2.1850968611841584</v>
      </c>
      <c r="O21">
        <v>15</v>
      </c>
      <c r="P21">
        <v>0</v>
      </c>
      <c r="Q21">
        <v>0</v>
      </c>
      <c r="R21">
        <v>4.4876459999999996E-3</v>
      </c>
      <c r="S21">
        <v>0.33419514899999997</v>
      </c>
      <c r="T21">
        <v>0</v>
      </c>
      <c r="U21">
        <v>1.404402138</v>
      </c>
      <c r="V21">
        <v>13.156104667999999</v>
      </c>
      <c r="W21">
        <v>0</v>
      </c>
      <c r="X21">
        <v>0</v>
      </c>
      <c r="Y21">
        <v>4.6906969999999999E-2</v>
      </c>
      <c r="Z21">
        <v>12.05</v>
      </c>
      <c r="AA21" t="s">
        <v>95</v>
      </c>
      <c r="AB21">
        <v>73</v>
      </c>
      <c r="AC21">
        <f t="shared" si="1"/>
        <v>0.93293999999999988</v>
      </c>
      <c r="AD21">
        <v>2.7063062211587563</v>
      </c>
      <c r="AE21">
        <v>30.668999671936</v>
      </c>
      <c r="AF21">
        <v>0.42012328317720599</v>
      </c>
    </row>
    <row r="22" spans="1:32" x14ac:dyDescent="0.3">
      <c r="A22" t="s">
        <v>75</v>
      </c>
      <c r="B22" t="s">
        <v>75</v>
      </c>
      <c r="C22" t="s">
        <v>76</v>
      </c>
      <c r="D22">
        <v>0.69219608830236101</v>
      </c>
      <c r="E22">
        <v>470</v>
      </c>
      <c r="F22">
        <v>3</v>
      </c>
      <c r="G22" t="s">
        <v>88</v>
      </c>
      <c r="H22" t="s">
        <v>88</v>
      </c>
      <c r="I22">
        <v>138.08600000000001</v>
      </c>
      <c r="J22" t="s">
        <v>87</v>
      </c>
      <c r="L22">
        <v>32.052999999999997</v>
      </c>
      <c r="M22">
        <v>2.5000000000000001E-2</v>
      </c>
      <c r="N22">
        <f t="shared" si="0"/>
        <v>2.1850968611841584</v>
      </c>
      <c r="O22">
        <v>15</v>
      </c>
      <c r="P22">
        <v>3</v>
      </c>
      <c r="Q22">
        <v>0</v>
      </c>
      <c r="R22">
        <v>7.2480000000000002</v>
      </c>
      <c r="S22">
        <v>0.19</v>
      </c>
      <c r="T22">
        <v>0</v>
      </c>
      <c r="U22">
        <v>4.4249999999999998</v>
      </c>
      <c r="V22">
        <v>1.478</v>
      </c>
      <c r="W22">
        <v>1.7050000000000001</v>
      </c>
      <c r="X22">
        <v>0</v>
      </c>
      <c r="Y22">
        <v>0</v>
      </c>
      <c r="Z22">
        <v>50.839116719242902</v>
      </c>
      <c r="AA22" t="s">
        <v>96</v>
      </c>
      <c r="AB22">
        <v>440</v>
      </c>
      <c r="AC22">
        <f t="shared" si="1"/>
        <v>5.6231999999999989</v>
      </c>
      <c r="AD22" s="6">
        <v>0.14845737066661238</v>
      </c>
      <c r="AE22">
        <v>822.98099456727505</v>
      </c>
      <c r="AF22">
        <v>1.8704113512892599</v>
      </c>
    </row>
    <row r="23" spans="1:32" x14ac:dyDescent="0.3">
      <c r="A23" t="s">
        <v>77</v>
      </c>
      <c r="B23" t="s">
        <v>77</v>
      </c>
      <c r="C23" t="s">
        <v>78</v>
      </c>
      <c r="D23">
        <v>0.19304348683184899</v>
      </c>
      <c r="E23">
        <v>2796</v>
      </c>
      <c r="F23">
        <v>0</v>
      </c>
      <c r="G23" t="s">
        <v>87</v>
      </c>
      <c r="H23" t="s">
        <v>88</v>
      </c>
      <c r="I23">
        <v>5795.6490000000003</v>
      </c>
      <c r="J23" t="s">
        <v>88</v>
      </c>
      <c r="K23" t="s">
        <v>90</v>
      </c>
      <c r="L23">
        <v>629.12599999999998</v>
      </c>
      <c r="M23">
        <v>2.5000000000000001E-2</v>
      </c>
      <c r="N23">
        <f t="shared" si="0"/>
        <v>2.1850968611841584</v>
      </c>
      <c r="O23">
        <v>15</v>
      </c>
      <c r="P23">
        <v>0</v>
      </c>
      <c r="Q23">
        <v>0</v>
      </c>
      <c r="R23">
        <v>0</v>
      </c>
      <c r="S23">
        <v>1.9510000000000001</v>
      </c>
      <c r="T23">
        <v>0</v>
      </c>
      <c r="U23">
        <v>3.8420000000000001</v>
      </c>
      <c r="V23">
        <v>9.18</v>
      </c>
      <c r="W23">
        <v>0</v>
      </c>
      <c r="X23">
        <v>0</v>
      </c>
      <c r="Y23">
        <v>0</v>
      </c>
      <c r="Z23">
        <v>49.394321766561497</v>
      </c>
      <c r="AA23" t="s">
        <v>95</v>
      </c>
      <c r="AB23">
        <v>7</v>
      </c>
      <c r="AC23">
        <f t="shared" si="1"/>
        <v>8.9459999999999984E-2</v>
      </c>
      <c r="AD23" s="6">
        <v>2.3618218060597429E-3</v>
      </c>
      <c r="AE23">
        <v>2.3340000584721601</v>
      </c>
      <c r="AF23">
        <v>0.33342857978173701</v>
      </c>
    </row>
    <row r="24" spans="1:32" x14ac:dyDescent="0.3">
      <c r="A24" s="5" t="s">
        <v>81</v>
      </c>
      <c r="B24" s="5" t="s">
        <v>81</v>
      </c>
      <c r="C24" s="5" t="s">
        <v>82</v>
      </c>
      <c r="D24">
        <v>0</v>
      </c>
      <c r="E24">
        <v>605</v>
      </c>
      <c r="F24">
        <v>0</v>
      </c>
      <c r="G24" t="s">
        <v>87</v>
      </c>
      <c r="H24" t="s">
        <v>88</v>
      </c>
      <c r="I24">
        <v>13505.967000000001</v>
      </c>
      <c r="J24" t="s">
        <v>87</v>
      </c>
      <c r="L24">
        <v>5282.8490000000002</v>
      </c>
      <c r="M24">
        <v>2.5000000000000001E-2</v>
      </c>
      <c r="N24">
        <f t="shared" si="0"/>
        <v>2.1850968611841584</v>
      </c>
      <c r="O24">
        <v>15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14.94067285</v>
      </c>
      <c r="W24">
        <v>0</v>
      </c>
      <c r="X24">
        <v>0</v>
      </c>
      <c r="Y24">
        <v>0</v>
      </c>
      <c r="Z24">
        <v>0</v>
      </c>
      <c r="AA24" t="s">
        <v>95</v>
      </c>
      <c r="AB24">
        <v>0</v>
      </c>
      <c r="AC24">
        <f t="shared" si="1"/>
        <v>0</v>
      </c>
      <c r="AD24">
        <v>0</v>
      </c>
      <c r="AE24">
        <v>0</v>
      </c>
    </row>
    <row r="25" spans="1:32" x14ac:dyDescent="0.3">
      <c r="A25" t="s">
        <v>83</v>
      </c>
      <c r="B25" t="s">
        <v>83</v>
      </c>
      <c r="C25" t="s">
        <v>84</v>
      </c>
      <c r="D25">
        <v>0.57895243227427695</v>
      </c>
      <c r="E25">
        <v>1182</v>
      </c>
      <c r="F25">
        <v>4</v>
      </c>
      <c r="G25" t="s">
        <v>88</v>
      </c>
      <c r="H25" t="s">
        <v>88</v>
      </c>
      <c r="I25">
        <v>162.84</v>
      </c>
      <c r="J25" t="s">
        <v>88</v>
      </c>
      <c r="K25" t="s">
        <v>89</v>
      </c>
      <c r="L25">
        <v>62.325000000000003</v>
      </c>
      <c r="M25">
        <v>2.5000000000000001E-2</v>
      </c>
      <c r="N25">
        <f t="shared" si="0"/>
        <v>2.1850968611841584</v>
      </c>
      <c r="O25">
        <v>15</v>
      </c>
      <c r="P25">
        <v>0</v>
      </c>
      <c r="Q25">
        <v>2</v>
      </c>
      <c r="R25">
        <v>4.883</v>
      </c>
      <c r="S25">
        <v>0.85</v>
      </c>
      <c r="T25">
        <v>0</v>
      </c>
      <c r="U25">
        <v>3.5249999999999999</v>
      </c>
      <c r="V25">
        <v>2.8319999999999999</v>
      </c>
      <c r="W25">
        <v>2.956</v>
      </c>
      <c r="X25">
        <v>0</v>
      </c>
      <c r="Y25">
        <v>0</v>
      </c>
      <c r="Z25">
        <v>37.414556962025301</v>
      </c>
      <c r="AA25" t="s">
        <v>94</v>
      </c>
      <c r="AB25">
        <v>550</v>
      </c>
      <c r="AC25">
        <f t="shared" si="1"/>
        <v>7.028999999999999</v>
      </c>
      <c r="AD25" s="6">
        <v>0.1855717133332655</v>
      </c>
      <c r="AE25">
        <v>1098.52699995786</v>
      </c>
      <c r="AF25">
        <v>1.9973218181051999</v>
      </c>
    </row>
    <row r="26" spans="1:32" x14ac:dyDescent="0.3">
      <c r="A26" t="s">
        <v>74</v>
      </c>
      <c r="B26" t="s">
        <v>73</v>
      </c>
      <c r="C26" t="s">
        <v>74</v>
      </c>
      <c r="D26">
        <v>0.20079681370407301</v>
      </c>
      <c r="E26">
        <v>970</v>
      </c>
      <c r="F26">
        <v>0</v>
      </c>
      <c r="G26" t="s">
        <v>87</v>
      </c>
      <c r="H26" t="s">
        <v>87</v>
      </c>
      <c r="I26">
        <v>334.245</v>
      </c>
      <c r="J26" t="s">
        <v>87</v>
      </c>
      <c r="L26">
        <v>47.473999999999997</v>
      </c>
      <c r="M26">
        <v>2.5000000000000001E-2</v>
      </c>
      <c r="N26">
        <f t="shared" si="0"/>
        <v>2.1850968611841584</v>
      </c>
      <c r="O26">
        <v>15</v>
      </c>
      <c r="P26">
        <v>0</v>
      </c>
      <c r="Q26">
        <v>1</v>
      </c>
      <c r="R26">
        <v>0.97899999999999998</v>
      </c>
      <c r="S26">
        <v>5.7249999999999996</v>
      </c>
      <c r="T26">
        <v>0.307</v>
      </c>
      <c r="U26">
        <v>5.7510000000000003</v>
      </c>
      <c r="V26">
        <v>2.2919999999999998</v>
      </c>
      <c r="W26">
        <v>0</v>
      </c>
      <c r="X26">
        <v>0</v>
      </c>
      <c r="Y26">
        <v>0</v>
      </c>
      <c r="Z26">
        <v>36.553125000000001</v>
      </c>
      <c r="AA26" t="s">
        <v>93</v>
      </c>
      <c r="AB26">
        <v>107</v>
      </c>
      <c r="AC26">
        <f t="shared" si="1"/>
        <v>1.3674599999999997</v>
      </c>
      <c r="AD26" s="6">
        <v>3.6102133321198923E-2</v>
      </c>
      <c r="AE26">
        <v>164.12699976563499</v>
      </c>
      <c r="AF26">
        <v>1.5338971940713499</v>
      </c>
    </row>
    <row r="27" spans="1:32" x14ac:dyDescent="0.3">
      <c r="A27" s="5" t="s">
        <v>85</v>
      </c>
      <c r="B27" s="5" t="s">
        <v>85</v>
      </c>
      <c r="C27" s="5" t="s">
        <v>86</v>
      </c>
      <c r="D27">
        <v>0.47556044924590302</v>
      </c>
      <c r="F27">
        <v>0</v>
      </c>
      <c r="G27" t="s">
        <v>87</v>
      </c>
      <c r="H27" t="s">
        <v>87</v>
      </c>
      <c r="I27">
        <v>2285.1999999999998</v>
      </c>
      <c r="J27" t="s">
        <v>87</v>
      </c>
      <c r="L27">
        <v>326.84300000000002</v>
      </c>
      <c r="M27">
        <v>2.5000000000000001E-2</v>
      </c>
      <c r="N27">
        <f t="shared" si="0"/>
        <v>2.1850968611841584</v>
      </c>
      <c r="O27">
        <v>15</v>
      </c>
      <c r="P27">
        <v>0</v>
      </c>
      <c r="Q27">
        <v>0</v>
      </c>
      <c r="R27">
        <v>0.51775613200000004</v>
      </c>
      <c r="S27">
        <v>6.0415042379999999</v>
      </c>
      <c r="T27">
        <v>0</v>
      </c>
      <c r="U27">
        <v>1.3385453E-2</v>
      </c>
      <c r="V27">
        <v>7.3967122319999996</v>
      </c>
      <c r="W27">
        <v>0.93401916200000001</v>
      </c>
      <c r="X27">
        <v>0</v>
      </c>
      <c r="Y27">
        <v>6.8388918000000007E-2</v>
      </c>
      <c r="Z27">
        <v>42.052631578947398</v>
      </c>
      <c r="AA27" t="s">
        <v>95</v>
      </c>
      <c r="AB27">
        <v>0</v>
      </c>
      <c r="AC27">
        <f t="shared" si="1"/>
        <v>0</v>
      </c>
      <c r="AD27">
        <v>0</v>
      </c>
      <c r="AE27">
        <v>0</v>
      </c>
    </row>
  </sheetData>
  <sortState xmlns:xlrd2="http://schemas.microsoft.com/office/spreadsheetml/2017/richdata2" ref="A2:AJ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Vercauteren</dc:creator>
  <cp:lastModifiedBy>Maaike Vercauteren</cp:lastModifiedBy>
  <dcterms:created xsi:type="dcterms:W3CDTF">2024-05-29T14:31:50Z</dcterms:created>
  <dcterms:modified xsi:type="dcterms:W3CDTF">2024-06-06T07:44:31Z</dcterms:modified>
</cp:coreProperties>
</file>